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4b78dd327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rantyClaims" sheetId="1" r:id="Rb7ddb2085fc046c1"/>
    <x:sheet xmlns:r="http://schemas.openxmlformats.org/officeDocument/2006/relationships" name="FaultCodes" sheetId="2" r:id="R2c557ef7dacf4849"/>
    <x:sheet xmlns:r="http://schemas.openxmlformats.org/officeDocument/2006/relationships" name="ServiceIntervals" sheetId="3" r:id="R05c607da3b434b49"/>
    <x:sheet xmlns:r="http://schemas.openxmlformats.org/officeDocument/2006/relationships" name="PartMaster" sheetId="4" r:id="R5427d61147f14db2"/>
    <x:sheet xmlns:r="http://schemas.openxmlformats.org/officeDocument/2006/relationships" name="KnowledgeBase" sheetId="5" r:id="R7b48cad13dcd4344"/>
    <x:sheet xmlns:r="http://schemas.openxmlformats.org/officeDocument/2006/relationships" name="KPI_Summary" sheetId="6" r:id="R57169f34691b4596"/>
    <x:sheet xmlns:r="http://schemas.openxmlformats.org/officeDocument/2006/relationships" name="Preventive_Calc" sheetId="7" r:id="R007247d11324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4a849886c4068" /><Relationship Type="http://schemas.openxmlformats.org/officeDocument/2006/relationships/theme" Target="/xl/theme/theme1.xml" Id="R08532d2d55b444b1" /><Relationship Type="http://schemas.openxmlformats.org/officeDocument/2006/relationships/sharedStrings" Target="/xl/sharedStrings.xml" Id="R2954f71751df4730" /><Relationship Type="http://schemas.openxmlformats.org/officeDocument/2006/relationships/worksheet" Target="/xl/worksheets/sheet1.xml" Id="Rb7ddb2085fc046c1" /><Relationship Type="http://schemas.openxmlformats.org/officeDocument/2006/relationships/worksheet" Target="/xl/worksheets/sheet2.xml" Id="R2c557ef7dacf4849" /><Relationship Type="http://schemas.openxmlformats.org/officeDocument/2006/relationships/worksheet" Target="/xl/worksheets/sheet3.xml" Id="R05c607da3b434b49" /><Relationship Type="http://schemas.openxmlformats.org/officeDocument/2006/relationships/worksheet" Target="/xl/worksheets/sheet4.xml" Id="R5427d61147f14db2" /><Relationship Type="http://schemas.openxmlformats.org/officeDocument/2006/relationships/worksheet" Target="/xl/worksheets/sheet5.xml" Id="R7b48cad13dcd4344" /><Relationship Type="http://schemas.openxmlformats.org/officeDocument/2006/relationships/worksheet" Target="/xl/worksheets/sheet6.xml" Id="R57169f34691b4596" /><Relationship Type="http://schemas.openxmlformats.org/officeDocument/2006/relationships/worksheet" Target="/xl/worksheets/sheet7.xml" Id="R007247d1132442a7" /></Relationships>
</file>

<file path=xl/tables/table1.xml><?xml version="1.0" encoding="utf-8"?>
<x:table xmlns:x="http://schemas.openxmlformats.org/spreadsheetml/2006/main" id="1" name="WarrantyClaimsTable" displayName="WarrantyClaimsTable" ref="A1:Q16" headerRowCount="1">
  <x:tableColumns count="17">
    <x:tableColumn id="1" name="claim_id"/>
    <x:tableColumn id="2" name="vin"/>
    <x:tableColumn id="3" name="claim_date"/>
    <x:tableColumn id="4" name="vehicle_make"/>
    <x:tableColumn id="5" name="vehicle_model"/>
    <x:tableColumn id="6" name="model_year"/>
    <x:tableColumn id="7" name="mileage"/>
    <x:tableColumn id="8" name="application"/>
    <x:tableColumn id="9" name="geography"/>
    <x:tableColumn id="10" name="fault_code"/>
    <x:tableColumn id="11" name="noun_code"/>
    <x:tableColumn id="12" name="part_name"/>
    <x:tableColumn id="13" name="complaint"/>
    <x:tableColumn id="14" name="cause"/>
    <x:tableColumn id="15" name="correction"/>
    <x:tableColumn id="16" name="repair_cost_usd"/>
    <x:tableColumn id="17" name="technician_comment"/>
  </x:tableColumns>
  <x:tableStyleInfo name="TableStyleMedium2" showRowStripes="1"/>
</x:table>
</file>

<file path=xl/tables/table2.xml><?xml version="1.0" encoding="utf-8"?>
<x:table xmlns:x="http://schemas.openxmlformats.org/spreadsheetml/2006/main" id="2" name="FaultCodesTable" displayName="FaultCodesTable" ref="A1:F7" headerRowCount="1">
  <x:tableColumns count="6">
    <x:tableColumn id="1" name="fault_code"/>
    <x:tableColumn id="2" name="system"/>
    <x:tableColumn id="3" name="subsystem"/>
    <x:tableColumn id="4" name="fault_meaning"/>
    <x:tableColumn id="5" name="likely_causes"/>
    <x:tableColumn id="6" name="severity"/>
  </x:tableColumns>
  <x:tableStyleInfo name="TableStyleMedium2" showRowStripes="1"/>
</x:table>
</file>

<file path=xl/tables/table3.xml><?xml version="1.0" encoding="utf-8"?>
<x:table xmlns:x="http://schemas.openxmlformats.org/spreadsheetml/2006/main" id="3" name="ServiceIntervalsTable" displayName="ServiceIntervalsTable" ref="A1:H7" headerRowCount="1">
  <x:tableColumns count="8">
    <x:tableColumn id="1" name="vehicle_make"/>
    <x:tableColumn id="2" name="vehicle_model"/>
    <x:tableColumn id="3" name="model_year"/>
    <x:tableColumn id="4" name="noun_code"/>
    <x:tableColumn id="5" name="part_name"/>
    <x:tableColumn id="6" name="oem_service_interval_miles"/>
    <x:tableColumn id="7" name="inspection_cost_usd"/>
    <x:tableColumn id="8" name="recommended_action"/>
  </x:tableColumns>
  <x:tableStyleInfo name="TableStyleMedium2" showRowStripes="1"/>
</x:table>
</file>

<file path=xl/tables/table4.xml><?xml version="1.0" encoding="utf-8"?>
<x:table xmlns:x="http://schemas.openxmlformats.org/spreadsheetml/2006/main" id="4" name="PartMasterTable" displayName="PartMasterTable" ref="A1:G7" headerRowCount="1">
  <x:tableColumns count="7">
    <x:tableColumn id="1" name="noun_code"/>
    <x:tableColumn id="2" name="part_name"/>
    <x:tableColumn id="3" name="vehicle_system"/>
    <x:tableColumn id="4" name="subsystem"/>
    <x:tableColumn id="5" name="supplier"/>
    <x:tableColumn id="6" name="design_owner"/>
    <x:tableColumn id="7" name="criticality"/>
  </x:tableColumns>
  <x:tableStyleInfo name="TableStyleMedium2" showRowStripes="1"/>
</x:table>
</file>

<file path=xl/tables/table5.xml><?xml version="1.0" encoding="utf-8"?>
<x:table xmlns:x="http://schemas.openxmlformats.org/spreadsheetml/2006/main" id="5" name="KnowledgeBaseTable" displayName="KnowledgeBaseTable" ref="A1:G7" headerRowCount="1">
  <x:tableColumns count="7">
    <x:tableColumn id="1" name="system"/>
    <x:tableColumn id="2" name="subsystem"/>
    <x:tableColumn id="3" name="part_name"/>
    <x:tableColumn id="4" name="failure_mode"/>
    <x:tableColumn id="5" name="evidence_keywords"/>
    <x:tableColumn id="6" name="suspected_root_causes"/>
    <x:tableColumn id="7" name="recommended_tes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060384a2b446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1e040c9ca643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f301a40ba346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83698a8c04246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c30223892f4f1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4" hidden="0" customWidth="1"/>
    <x:col min="14" max="14" width="34" hidden="0" customWidth="1"/>
    <x:col min="15" max="15" width="34" hidden="0" customWidth="1"/>
    <x:col min="16" max="16" width="16" hidden="0" customWidth="1"/>
    <x:col min="17" max="17" width="34" hidden="0" customWidth="1"/>
  </x:cols>
  <x:sheetData>
    <x:row r="1" ht="30" customHeight="1">
      <x:c r="A1" s="14" t="str">
        <x:v>claim_id</x:v>
      </x:c>
      <x:c r="B1" s="14" t="str">
        <x:v>vin</x:v>
      </x:c>
      <x:c r="C1" s="14" t="str">
        <x:v>claim_date</x:v>
      </x:c>
      <x:c r="D1" s="14" t="str">
        <x:v>vehicle_make</x:v>
      </x:c>
      <x:c r="E1" s="14" t="str">
        <x:v>vehicle_model</x:v>
      </x:c>
      <x:c r="F1" s="14" t="str">
        <x:v>model_year</x:v>
      </x:c>
      <x:c r="G1" s="14" t="str">
        <x:v>mileage</x:v>
      </x:c>
      <x:c r="H1" s="14" t="str">
        <x:v>application</x:v>
      </x:c>
      <x:c r="I1" s="14" t="str">
        <x:v>geography</x:v>
      </x:c>
      <x:c r="J1" s="14" t="str">
        <x:v>fault_code</x:v>
      </x:c>
      <x:c r="K1" s="14" t="str">
        <x:v>noun_code</x:v>
      </x:c>
      <x:c r="L1" s="14" t="str">
        <x:v>part_name</x:v>
      </x:c>
      <x:c r="M1" s="14" t="str">
        <x:v>complaint</x:v>
      </x:c>
      <x:c r="N1" s="14" t="str">
        <x:v>cause</x:v>
      </x:c>
      <x:c r="O1" s="14" t="str">
        <x:v>correction</x:v>
      </x:c>
      <x:c r="P1" s="14" t="str">
        <x:v>repair_cost_usd</x:v>
      </x:c>
      <x:c r="Q1" s="14" t="str">
        <x:v>technician_comment</x:v>
      </x:c>
    </x:row>
    <x:row r="2">
      <x:c r="A2" s="15" t="str">
        <x:v>C-1001</x:v>
      </x:c>
      <x:c r="B2" s="15" t="str">
        <x:v>VIN-OUT-001</x:v>
      </x:c>
      <x:c r="C2" s="15" t="str">
        <x:v>2026-01-08</x:v>
      </x:c>
      <x:c r="D2" s="15" t="str">
        <x:v>Mitsubishi</x:v>
      </x:c>
      <x:c r="E2" s="15" t="str">
        <x:v>Outlander</x:v>
      </x:c>
      <x:c r="F2" s="18" t="n">
        <x:v>2021</x:v>
      </x:c>
      <x:c r="G2" s="18" t="n">
        <x:v>31200</x:v>
      </x:c>
      <x:c r="H2" s="15" t="str">
        <x:v>Retail SUV</x:v>
      </x:c>
      <x:c r="I2" s="15" t="str">
        <x:v>Midwest USA</x:v>
      </x:c>
      <x:c r="J2" s="15" t="str">
        <x:v>P0302</x:v>
      </x:c>
      <x:c r="K2" s="15" t="str">
        <x:v>SPKPLG</x:v>
      </x:c>
      <x:c r="L2" s="15" t="str">
        <x:v>Spark Plug</x:v>
      </x:c>
      <x:c r="M2" s="15" t="str">
        <x:v>Engine misfire and poor acceleration</x:v>
      </x:c>
      <x:c r="N2" s="15" t="str">
        <x:v>Cylinder 2 spark plug fouled</x:v>
      </x:c>
      <x:c r="O2" s="15" t="str">
        <x:v>Replaced spark plugs and cleared fault code</x:v>
      </x:c>
      <x:c r="P2" s="18" t="n">
        <x:v>1840</x:v>
      </x:c>
      <x:c r="Q2" s="15" t="str">
        <x:v>Cylinder 2 misfire found. Spark plug was carbon fouled and worn earlier than expected.</x:v>
      </x:c>
    </x:row>
    <x:row r="3">
      <x:c r="A3" s="15" t="str">
        <x:v>C-1002</x:v>
      </x:c>
      <x:c r="B3" s="15" t="str">
        <x:v>VIN-OUT-002</x:v>
      </x:c>
      <x:c r="C3" s="15" t="str">
        <x:v>2026-01-16</x:v>
      </x:c>
      <x:c r="D3" s="15" t="str">
        <x:v>Mitsubishi</x:v>
      </x:c>
      <x:c r="E3" s="15" t="str">
        <x:v>Outlander</x:v>
      </x:c>
      <x:c r="F3" s="18" t="n">
        <x:v>2021</x:v>
      </x:c>
      <x:c r="G3" s="18" t="n">
        <x:v>28650</x:v>
      </x:c>
      <x:c r="H3" s="15" t="str">
        <x:v>Retail SUV</x:v>
      </x:c>
      <x:c r="I3" s="15" t="str">
        <x:v>Northeast USA</x:v>
      </x:c>
      <x:c r="J3" s="15" t="str">
        <x:v>P0302</x:v>
      </x:c>
      <x:c r="K3" s="15" t="str">
        <x:v>SPKPLG</x:v>
      </x:c>
      <x:c r="L3" s="15" t="str">
        <x:v>Spark Plug</x:v>
      </x:c>
      <x:c r="M3" s="15" t="str">
        <x:v>Check engine light with rough idle</x:v>
      </x:c>
      <x:c r="N3" s="15" t="str">
        <x:v>Plug fouling on cylinder 2</x:v>
      </x:c>
      <x:c r="O3" s="15" t="str">
        <x:v>Replaced cylinder 2 plug and ignition coil inspection completed</x:v>
      </x:c>
      <x:c r="P3" s="18" t="n">
        <x:v>1710</x:v>
      </x:c>
      <x:c r="Q3" s="15" t="str">
        <x:v>P0302 active. Plug fouled. Coil test passed. No injector fault observed.</x:v>
      </x:c>
    </x:row>
    <x:row r="4">
      <x:c r="A4" s="15" t="str">
        <x:v>C-1003</x:v>
      </x:c>
      <x:c r="B4" s="15" t="str">
        <x:v>VIN-OUT-003</x:v>
      </x:c>
      <x:c r="C4" s="15" t="str">
        <x:v>2026-01-21</x:v>
      </x:c>
      <x:c r="D4" s="15" t="str">
        <x:v>Mitsubishi</x:v>
      </x:c>
      <x:c r="E4" s="15" t="str">
        <x:v>Outlander</x:v>
      </x:c>
      <x:c r="F4" s="18" t="n">
        <x:v>2021</x:v>
      </x:c>
      <x:c r="G4" s="18" t="n">
        <x:v>33780</x:v>
      </x:c>
      <x:c r="H4" s="15" t="str">
        <x:v>Retail SUV</x:v>
      </x:c>
      <x:c r="I4" s="15" t="str">
        <x:v>South USA</x:v>
      </x:c>
      <x:c r="J4" s="15" t="str">
        <x:v>P0302</x:v>
      </x:c>
      <x:c r="K4" s="15" t="str">
        <x:v>SPKPLG</x:v>
      </x:c>
      <x:c r="L4" s="15" t="str">
        <x:v>Spark Plug</x:v>
      </x:c>
      <x:c r="M4" s="15" t="str">
        <x:v>Loss of power during acceleration</x:v>
      </x:c>
      <x:c r="N4" s="15" t="str">
        <x:v>Premature spark plug wear</x:v>
      </x:c>
      <x:c r="O4" s="15" t="str">
        <x:v>Spark plug set replaced</x:v>
      </x:c>
      <x:c r="P4" s="18" t="n">
        <x:v>1925</x:v>
      </x:c>
      <x:c r="Q4" s="15" t="str">
        <x:v>Misfire cylinder 2. Spark plug electrode worn and dark deposits found.</x:v>
      </x:c>
    </x:row>
    <x:row r="5">
      <x:c r="A5" s="15" t="str">
        <x:v>C-1004</x:v>
      </x:c>
      <x:c r="B5" s="15" t="str">
        <x:v>VIN-OUT-004</x:v>
      </x:c>
      <x:c r="C5" s="15" t="str">
        <x:v>2026-02-05</x:v>
      </x:c>
      <x:c r="D5" s="15" t="str">
        <x:v>Mitsubishi</x:v>
      </x:c>
      <x:c r="E5" s="15" t="str">
        <x:v>Outlander</x:v>
      </x:c>
      <x:c r="F5" s="18" t="n">
        <x:v>2021</x:v>
      </x:c>
      <x:c r="G5" s="18" t="n">
        <x:v>29750</x:v>
      </x:c>
      <x:c r="H5" s="15" t="str">
        <x:v>Fleet SUV</x:v>
      </x:c>
      <x:c r="I5" s="15" t="str">
        <x:v>Midwest USA</x:v>
      </x:c>
      <x:c r="J5" s="15" t="str">
        <x:v>P0302</x:v>
      </x:c>
      <x:c r="K5" s="15" t="str">
        <x:v>SPKPLG</x:v>
      </x:c>
      <x:c r="L5" s="15" t="str">
        <x:v>Spark Plug</x:v>
      </x:c>
      <x:c r="M5" s="15" t="str">
        <x:v>Engine vibration at idle</x:v>
      </x:c>
      <x:c r="N5" s="15" t="str">
        <x:v>Spark plug fouling</x:v>
      </x:c>
      <x:c r="O5" s="15" t="str">
        <x:v>Replaced plug and cleaned throttle body</x:v>
      </x:c>
      <x:c r="P5" s="18" t="n">
        <x:v>1665</x:v>
      </x:c>
      <x:c r="Q5" s="15" t="str">
        <x:v>Repeated rough idle. Cylinder 2 plug fouled. Similar previous cases observed.</x:v>
      </x:c>
    </x:row>
    <x:row r="6">
      <x:c r="A6" s="15" t="str">
        <x:v>C-1005</x:v>
      </x:c>
      <x:c r="B6" s="15" t="str">
        <x:v>VIN-OUT-002</x:v>
      </x:c>
      <x:c r="C6" s="15" t="str">
        <x:v>2026-03-11</x:v>
      </x:c>
      <x:c r="D6" s="15" t="str">
        <x:v>Mitsubishi</x:v>
      </x:c>
      <x:c r="E6" s="15" t="str">
        <x:v>Outlander</x:v>
      </x:c>
      <x:c r="F6" s="18" t="n">
        <x:v>2021</x:v>
      </x:c>
      <x:c r="G6" s="18" t="n">
        <x:v>34820</x:v>
      </x:c>
      <x:c r="H6" s="15" t="str">
        <x:v>Retail SUV</x:v>
      </x:c>
      <x:c r="I6" s="15" t="str">
        <x:v>Northeast USA</x:v>
      </x:c>
      <x:c r="J6" s="15" t="str">
        <x:v>P0302</x:v>
      </x:c>
      <x:c r="K6" s="15" t="str">
        <x:v>SPKPLG</x:v>
      </x:c>
      <x:c r="L6" s="15" t="str">
        <x:v>Spark Plug</x:v>
      </x:c>
      <x:c r="M6" s="15" t="str">
        <x:v>Repeat check engine light</x:v>
      </x:c>
      <x:c r="N6" s="15" t="str">
        <x:v>Possible repeat ignition issue</x:v>
      </x:c>
      <x:c r="O6" s="15" t="str">
        <x:v>Replaced spark plug set and performed fuel trim reset</x:v>
      </x:c>
      <x:c r="P6" s="18" t="n">
        <x:v>2050</x:v>
      </x:c>
      <x:c r="Q6" s="15" t="str">
        <x:v>Repeat VIN. Plug deposits returned. Need engineering review for service interval gap.</x:v>
      </x:c>
    </x:row>
    <x:row r="7">
      <x:c r="A7" s="15" t="str">
        <x:v>C-1006</x:v>
      </x:c>
      <x:c r="B7" s="15" t="str">
        <x:v>VIN-INT-101</x:v>
      </x:c>
      <x:c r="C7" s="15" t="str">
        <x:v>2026-01-10</x:v>
      </x:c>
      <x:c r="D7" s="15" t="str">
        <x:v>International</x:v>
      </x:c>
      <x:c r="E7" s="15" t="str">
        <x:v>LT</x:v>
      </x:c>
      <x:c r="F7" s="18" t="n">
        <x:v>2022</x:v>
      </x:c>
      <x:c r="G7" s="18" t="n">
        <x:v>64200</x:v>
      </x:c>
      <x:c r="H7" s="15" t="str">
        <x:v>General Freight Long Haul</x:v>
      </x:c>
      <x:c r="I7" s="15" t="str">
        <x:v>Texas USA</x:v>
      </x:c>
      <x:c r="J7" s="15" t="str">
        <x:v>P0401</x:v>
      </x:c>
      <x:c r="K7" s="15" t="str">
        <x:v>EGRVLV</x:v>
      </x:c>
      <x:c r="L7" s="15" t="str">
        <x:v>EGR Valve</x:v>
      </x:c>
      <x:c r="M7" s="15" t="str">
        <x:v>Low power and emissions warning</x:v>
      </x:c>
      <x:c r="N7" s="15" t="str">
        <x:v>Insufficient EGR flow</x:v>
      </x:c>
      <x:c r="O7" s="15" t="str">
        <x:v>Replaced EGR valve and cleaned cooler</x:v>
      </x:c>
      <x:c r="P7" s="18" t="n">
        <x:v>3120</x:v>
      </x:c>
      <x:c r="Q7" s="15" t="str">
        <x:v>P0401 present. EGR valve sticking due to soot buildup. Cooler restriction observed.</x:v>
      </x:c>
    </x:row>
    <x:row r="8">
      <x:c r="A8" s="15" t="str">
        <x:v>C-1007</x:v>
      </x:c>
      <x:c r="B8" s="15" t="str">
        <x:v>VIN-INT-102</x:v>
      </x:c>
      <x:c r="C8" s="15" t="str">
        <x:v>2026-02-14</x:v>
      </x:c>
      <x:c r="D8" s="15" t="str">
        <x:v>International</x:v>
      </x:c>
      <x:c r="E8" s="15" t="str">
        <x:v>LT</x:v>
      </x:c>
      <x:c r="F8" s="18" t="n">
        <x:v>2022</x:v>
      </x:c>
      <x:c r="G8" s="18" t="n">
        <x:v>59800</x:v>
      </x:c>
      <x:c r="H8" s="15" t="str">
        <x:v>General Freight Long Haul</x:v>
      </x:c>
      <x:c r="I8" s="15" t="str">
        <x:v>Illinois USA</x:v>
      </x:c>
      <x:c r="J8" s="15" t="str">
        <x:v>P0401</x:v>
      </x:c>
      <x:c r="K8" s="15" t="str">
        <x:v>EGRVLV</x:v>
      </x:c>
      <x:c r="L8" s="15" t="str">
        <x:v>EGR Valve</x:v>
      </x:c>
      <x:c r="M8" s="15" t="str">
        <x:v>Derate and poor acceleration</x:v>
      </x:c>
      <x:c r="N8" s="15" t="str">
        <x:v>EGR valve stuck partially closed</x:v>
      </x:c>
      <x:c r="O8" s="15" t="str">
        <x:v>Replaced EGR valve</x:v>
      </x:c>
      <x:c r="P8" s="18" t="n">
        <x:v>2890</x:v>
      </x:c>
      <x:c r="Q8" s="15" t="str">
        <x:v>EGR actuator command not matching actual position. Soot buildup suspected.</x:v>
      </x:c>
    </x:row>
    <x:row r="9">
      <x:c r="A9" s="15" t="str">
        <x:v>C-1008</x:v>
      </x:c>
      <x:c r="B9" s="15" t="str">
        <x:v>VIN-INT-103</x:v>
      </x:c>
      <x:c r="C9" s="15" t="str">
        <x:v>2026-03-02</x:v>
      </x:c>
      <x:c r="D9" s="15" t="str">
        <x:v>International</x:v>
      </x:c>
      <x:c r="E9" s="15" t="str">
        <x:v>LT</x:v>
      </x:c>
      <x:c r="F9" s="18" t="n">
        <x:v>2022</x:v>
      </x:c>
      <x:c r="G9" s="18" t="n">
        <x:v>71150</x:v>
      </x:c>
      <x:c r="H9" s="15" t="str">
        <x:v>General Freight Regional Haul</x:v>
      </x:c>
      <x:c r="I9" s="15" t="str">
        <x:v>Ohio USA</x:v>
      </x:c>
      <x:c r="J9" s="15" t="str">
        <x:v>P0401</x:v>
      </x:c>
      <x:c r="K9" s="15" t="str">
        <x:v>EGRVLV</x:v>
      </x:c>
      <x:c r="L9" s="15" t="str">
        <x:v>EGR Valve</x:v>
      </x:c>
      <x:c r="M9" s="15" t="str">
        <x:v>Check engine light and derate</x:v>
      </x:c>
      <x:c r="N9" s="15" t="str">
        <x:v>Restricted EGR flow</x:v>
      </x:c>
      <x:c r="O9" s="15" t="str">
        <x:v>EGR valve replaced, DPF regen completed</x:v>
      </x:c>
      <x:c r="P9" s="18" t="n">
        <x:v>3350</x:v>
      </x:c>
      <x:c r="Q9" s="15" t="str">
        <x:v>High soot accumulation. Needs preventive cleaning interval validation.</x:v>
      </x:c>
    </x:row>
    <x:row r="10">
      <x:c r="A10" s="15" t="str">
        <x:v>C-1009</x:v>
      </x:c>
      <x:c r="B10" s="15" t="str">
        <x:v>VIN-INT-201</x:v>
      </x:c>
      <x:c r="C10" s="15" t="str">
        <x:v>2026-01-22</x:v>
      </x:c>
      <x:c r="D10" s="15" t="str">
        <x:v>International</x:v>
      </x:c>
      <x:c r="E10" s="15" t="str">
        <x:v>RH</x:v>
      </x:c>
      <x:c r="F10" s="18" t="n">
        <x:v>2023</x:v>
      </x:c>
      <x:c r="G10" s="18" t="n">
        <x:v>41700</x:v>
      </x:c>
      <x:c r="H10" s="15" t="str">
        <x:v>Regional Haul Day Cab</x:v>
      </x:c>
      <x:c r="I10" s="15" t="str">
        <x:v>California USA</x:v>
      </x:c>
      <x:c r="J10" s="15" t="str">
        <x:v>P0299</x:v>
      </x:c>
      <x:c r="K10" s="15" t="str">
        <x:v>TURBO</x:v>
      </x:c>
      <x:c r="L10" s="15" t="str">
        <x:v>Turbocharger</x:v>
      </x:c>
      <x:c r="M10" s="15" t="str">
        <x:v>Underboost and low engine power</x:v>
      </x:c>
      <x:c r="N10" s="15" t="str">
        <x:v>VGT actuator slow response</x:v>
      </x:c>
      <x:c r="O10" s="15" t="str">
        <x:v>Replaced actuator assembly</x:v>
      </x:c>
      <x:c r="P10" s="18" t="n">
        <x:v>4250</x:v>
      </x:c>
      <x:c r="Q10" s="15" t="str">
        <x:v>P0299 underboost. VGT actuator response slow. Turbo wheel visually OK.</x:v>
      </x:c>
    </x:row>
    <x:row r="11">
      <x:c r="A11" s="15" t="str">
        <x:v>C-1010</x:v>
      </x:c>
      <x:c r="B11" s="15" t="str">
        <x:v>VIN-INT-202</x:v>
      </x:c>
      <x:c r="C11" s="15" t="str">
        <x:v>2026-02-19</x:v>
      </x:c>
      <x:c r="D11" s="15" t="str">
        <x:v>International</x:v>
      </x:c>
      <x:c r="E11" s="15" t="str">
        <x:v>RH</x:v>
      </x:c>
      <x:c r="F11" s="18" t="n">
        <x:v>2023</x:v>
      </x:c>
      <x:c r="G11" s="18" t="n">
        <x:v>45250</x:v>
      </x:c>
      <x:c r="H11" s="15" t="str">
        <x:v>Regional Haul Day Cab</x:v>
      </x:c>
      <x:c r="I11" s="15" t="str">
        <x:v>Arizona USA</x:v>
      </x:c>
      <x:c r="J11" s="15" t="str">
        <x:v>P0299</x:v>
      </x:c>
      <x:c r="K11" s="15" t="str">
        <x:v>TURBO</x:v>
      </x:c>
      <x:c r="L11" s="15" t="str">
        <x:v>Turbocharger</x:v>
      </x:c>
      <x:c r="M11" s="15" t="str">
        <x:v>Poor pull on grade</x:v>
      </x:c>
      <x:c r="N11" s="15" t="str">
        <x:v>Boost pressure below threshold</x:v>
      </x:c>
      <x:c r="O11" s="15" t="str">
        <x:v>Replaced turbo actuator and calibrated</x:v>
      </x:c>
      <x:c r="P11" s="18" t="n">
        <x:v>3995</x:v>
      </x:c>
      <x:c r="Q11" s="15" t="str">
        <x:v>VGT position lag observed. Possible actuator calibration drift.</x:v>
      </x:c>
    </x:row>
    <x:row r="12">
      <x:c r="A12" s="15" t="str">
        <x:v>C-1011</x:v>
      </x:c>
      <x:c r="B12" s="15" t="str">
        <x:v>VIN-INT-301</x:v>
      </x:c>
      <x:c r="C12" s="15" t="str">
        <x:v>2026-03-17</x:v>
      </x:c>
      <x:c r="D12" s="15" t="str">
        <x:v>International</x:v>
      </x:c>
      <x:c r="E12" s="15" t="str">
        <x:v>CE School Bus</x:v>
      </x:c>
      <x:c r="F12" s="18" t="n">
        <x:v>2024</x:v>
      </x:c>
      <x:c r="G12" s="18" t="n">
        <x:v>18500</x:v>
      </x:c>
      <x:c r="H12" s="15" t="str">
        <x:v>School Bus Stop-and-Go</x:v>
      </x:c>
      <x:c r="I12" s="15" t="str">
        <x:v>New York USA</x:v>
      </x:c>
      <x:c r="J12" s="15" t="str">
        <x:v>C0035</x:v>
      </x:c>
      <x:c r="K12" s="15" t="str">
        <x:v>WHSNSR</x:v>
      </x:c>
      <x:c r="L12" s="15" t="str">
        <x:v>Wheel Speed Sensor</x:v>
      </x:c>
      <x:c r="M12" s="15" t="str">
        <x:v>ABS light on</x:v>
      </x:c>
      <x:c r="N12" s="15" t="str">
        <x:v>Left front wheel speed sensor signal erratic</x:v>
      </x:c>
      <x:c r="O12" s="15" t="str">
        <x:v>Replaced sensor and secured harness</x:v>
      </x:c>
      <x:c r="P12" s="18" t="n">
        <x:v>760</x:v>
      </x:c>
      <x:c r="Q12" s="15" t="str">
        <x:v>Sensor wire chafing near bracket. ABS fault returned after wet driving.</x:v>
      </x:c>
    </x:row>
    <x:row r="13">
      <x:c r="A13" s="15" t="str">
        <x:v>C-1012</x:v>
      </x:c>
      <x:c r="B13" s="15" t="str">
        <x:v>VIN-INT-302</x:v>
      </x:c>
      <x:c r="C13" s="15" t="str">
        <x:v>2026-03-25</x:v>
      </x:c>
      <x:c r="D13" s="15" t="str">
        <x:v>International</x:v>
      </x:c>
      <x:c r="E13" s="15" t="str">
        <x:v>CE School Bus</x:v>
      </x:c>
      <x:c r="F13" s="18" t="n">
        <x:v>2024</x:v>
      </x:c>
      <x:c r="G13" s="18" t="n">
        <x:v>22300</x:v>
      </x:c>
      <x:c r="H13" s="15" t="str">
        <x:v>School Bus Stop-and-Go</x:v>
      </x:c>
      <x:c r="I13" s="15" t="str">
        <x:v>Pennsylvania USA</x:v>
      </x:c>
      <x:c r="J13" s="15" t="str">
        <x:v>C0035</x:v>
      </x:c>
      <x:c r="K13" s="15" t="str">
        <x:v>WHSNSR</x:v>
      </x:c>
      <x:c r="L13" s="15" t="str">
        <x:v>Wheel Speed Sensor</x:v>
      </x:c>
      <x:c r="M13" s="15" t="str">
        <x:v>Intermittent ABS warning</x:v>
      </x:c>
      <x:c r="N13" s="15" t="str">
        <x:v>Harness routing issue</x:v>
      </x:c>
      <x:c r="O13" s="15" t="str">
        <x:v>Replaced wheel speed sensor and rerouted harness</x:v>
      </x:c>
      <x:c r="P13" s="18" t="n">
        <x:v>815</x:v>
      </x:c>
      <x:c r="Q13" s="15" t="str">
        <x:v>Chafed harness and moisture ingress near sensor connector.</x:v>
      </x:c>
    </x:row>
    <x:row r="14">
      <x:c r="A14" s="15" t="str">
        <x:v>C-1013</x:v>
      </x:c>
      <x:c r="B14" s="15" t="str">
        <x:v>VIN-INT-401</x:v>
      </x:c>
      <x:c r="C14" s="15" t="str">
        <x:v>2026-02-02</x:v>
      </x:c>
      <x:c r="D14" s="15" t="str">
        <x:v>International</x:v>
      </x:c>
      <x:c r="E14" s="15" t="str">
        <x:v>HV</x:v>
      </x:c>
      <x:c r="F14" s="18" t="n">
        <x:v>2022</x:v>
      </x:c>
      <x:c r="G14" s="18" t="n">
        <x:v>52200</x:v>
      </x:c>
      <x:c r="H14" s="15" t="str">
        <x:v>Vocational Dump</x:v>
      </x:c>
      <x:c r="I14" s="15" t="str">
        <x:v>Colorado USA</x:v>
      </x:c>
      <x:c r="J14" s="15" t="str">
        <x:v>P20EE</x:v>
      </x:c>
      <x:c r="K14" s="15" t="str">
        <x:v>DOSER</x:v>
      </x:c>
      <x:c r="L14" s="15" t="str">
        <x:v>DEF Doser</x:v>
      </x:c>
      <x:c r="M14" s="15" t="str">
        <x:v>SCR efficiency below threshold</x:v>
      </x:c>
      <x:c r="N14" s="15" t="str">
        <x:v>DEF doser crystallization</x:v>
      </x:c>
      <x:c r="O14" s="15" t="str">
        <x:v>Cleaned DEF doser and replaced nozzle</x:v>
      </x:c>
      <x:c r="P14" s="18" t="n">
        <x:v>1460</x:v>
      </x:c>
      <x:c r="Q14" s="15" t="str">
        <x:v>DEF crystallization found. Doser spray pattern poor.</x:v>
      </x:c>
    </x:row>
    <x:row r="15">
      <x:c r="A15" s="15" t="str">
        <x:v>C-1014</x:v>
      </x:c>
      <x:c r="B15" s="15" t="str">
        <x:v>VIN-INT-402</x:v>
      </x:c>
      <x:c r="C15" s="15" t="str">
        <x:v>2026-03-07</x:v>
      </x:c>
      <x:c r="D15" s="15" t="str">
        <x:v>International</x:v>
      </x:c>
      <x:c r="E15" s="15" t="str">
        <x:v>HV</x:v>
      </x:c>
      <x:c r="F15" s="18" t="n">
        <x:v>2022</x:v>
      </x:c>
      <x:c r="G15" s="18" t="n">
        <x:v>48900</x:v>
      </x:c>
      <x:c r="H15" s="15" t="str">
        <x:v>Vocational Dump</x:v>
      </x:c>
      <x:c r="I15" s="15" t="str">
        <x:v>Utah USA</x:v>
      </x:c>
      <x:c r="J15" s="15" t="str">
        <x:v>P20EE</x:v>
      </x:c>
      <x:c r="K15" s="15" t="str">
        <x:v>DOSER</x:v>
      </x:c>
      <x:c r="L15" s="15" t="str">
        <x:v>DEF Doser</x:v>
      </x:c>
      <x:c r="M15" s="15" t="str">
        <x:v>Emissions fault and derate</x:v>
      </x:c>
      <x:c r="N15" s="15" t="str">
        <x:v>Poor DEF atomization</x:v>
      </x:c>
      <x:c r="O15" s="15" t="str">
        <x:v>Replaced DEF doser</x:v>
      </x:c>
      <x:c r="P15" s="18" t="n">
        <x:v>1590</x:v>
      </x:c>
      <x:c r="Q15" s="15" t="str">
        <x:v>Doser blocked by crystal deposits. Short route duty cycle suspected.</x:v>
      </x:c>
    </x:row>
    <x:row r="16">
      <x:c r="A16" s="15" t="str">
        <x:v>C-1015</x:v>
      </x:c>
      <x:c r="B16" s="15" t="str">
        <x:v>VIN-OUT-005</x:v>
      </x:c>
      <x:c r="C16" s="15" t="str">
        <x:v>2026-04-05</x:v>
      </x:c>
      <x:c r="D16" s="15" t="str">
        <x:v>Mitsubishi</x:v>
      </x:c>
      <x:c r="E16" s="15" t="str">
        <x:v>Outlander</x:v>
      </x:c>
      <x:c r="F16" s="18" t="n">
        <x:v>2022</x:v>
      </x:c>
      <x:c r="G16" s="18" t="n">
        <x:v>55200</x:v>
      </x:c>
      <x:c r="H16" s="15" t="str">
        <x:v>Retail SUV</x:v>
      </x:c>
      <x:c r="I16" s="15" t="str">
        <x:v>Florida USA</x:v>
      </x:c>
      <x:c r="J16" s="15" t="str">
        <x:v>P0420</x:v>
      </x:c>
      <x:c r="K16" s="15" t="str">
        <x:v>CATCNV</x:v>
      </x:c>
      <x:c r="L16" s="15" t="str">
        <x:v>Catalytic Converter</x:v>
      </x:c>
      <x:c r="M16" s="15" t="str">
        <x:v>Catalyst efficiency below threshold</x:v>
      </x:c>
      <x:c r="N16" s="15" t="str">
        <x:v>Catalyst degradation</x:v>
      </x:c>
      <x:c r="O16" s="15" t="str">
        <x:v>Replaced catalytic converter</x:v>
      </x:c>
      <x:c r="P16" s="18" t="n">
        <x:v>2380</x:v>
      </x:c>
      <x:c r="Q16" s="15" t="str">
        <x:v>Catalyst below efficiency. No misfire at time of repair.</x:v>
      </x:c>
    </x:row>
  </x:sheetData>
  <x:pageMargins left="0.7" right="0.7" top="0.75" bottom="0.75" header="0.3" footer="0.3"/>
  <x:tableParts count="1">
    <x:tablePart xmlns:r="http://schemas.openxmlformats.org/officeDocument/2006/relationships" r:id="Ra0060384a2b446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34" hidden="0" customWidth="1"/>
    <x:col min="6" max="6" width="16" hidden="0" customWidth="1"/>
  </x:cols>
  <x:sheetData>
    <x:row r="1" ht="30" customHeight="1">
      <x:c r="A1" s="14" t="str">
        <x:v>fault_code</x:v>
      </x:c>
      <x:c r="B1" s="14" t="str">
        <x:v>system</x:v>
      </x:c>
      <x:c r="C1" s="14" t="str">
        <x:v>subsystem</x:v>
      </x:c>
      <x:c r="D1" s="14" t="str">
        <x:v>fault_meaning</x:v>
      </x:c>
      <x:c r="E1" s="14" t="str">
        <x:v>likely_causes</x:v>
      </x:c>
      <x:c r="F1" s="14" t="str">
        <x:v>severity</x:v>
      </x:c>
    </x:row>
    <x:row r="2">
      <x:c r="A2" s="15" t="str">
        <x:v>P0302</x:v>
      </x:c>
      <x:c r="B2" s="15" t="str">
        <x:v>Engine</x:v>
      </x:c>
      <x:c r="C2" s="15" t="str">
        <x:v>Ignition / Combustion</x:v>
      </x:c>
      <x:c r="D2" s="15" t="str">
        <x:v>Cylinder 2 misfire detected</x:v>
      </x:c>
      <x:c r="E2" s="15" t="str">
        <x:v>Spark plug fouling; ignition coil weakness; fuel injector issue; compression issue; wiring concern</x:v>
      </x:c>
      <x:c r="F2" s="15" t="str">
        <x:v>High</x:v>
      </x:c>
    </x:row>
    <x:row r="3">
      <x:c r="A3" s="15" t="str">
        <x:v>P0401</x:v>
      </x:c>
      <x:c r="B3" s="15" t="str">
        <x:v>Engine / Emissions</x:v>
      </x:c>
      <x:c r="C3" s="15" t="str">
        <x:v>EGR System</x:v>
      </x:c>
      <x:c r="D3" s="15" t="str">
        <x:v>Exhaust gas recirculation flow insufficient</x:v>
      </x:c>
      <x:c r="E3" s="15" t="str">
        <x:v>EGR valve sticking; soot buildup; EGR cooler restriction; sensor error; actuator mismatch</x:v>
      </x:c>
      <x:c r="F3" s="15" t="str">
        <x:v>High</x:v>
      </x:c>
    </x:row>
    <x:row r="4">
      <x:c r="A4" s="15" t="str">
        <x:v>P0299</x:v>
      </x:c>
      <x:c r="B4" s="15" t="str">
        <x:v>Engine / Air Handling</x:v>
      </x:c>
      <x:c r="C4" s="15" t="str">
        <x:v>Turbocharging</x:v>
      </x:c>
      <x:c r="D4" s="15" t="str">
        <x:v>Turbocharger underboost condition</x:v>
      </x:c>
      <x:c r="E4" s="15" t="str">
        <x:v>VGT actuator lag; boost leak; turbo wear; sensor calibration drift; intake restriction</x:v>
      </x:c>
      <x:c r="F4" s="15" t="str">
        <x:v>High</x:v>
      </x:c>
    </x:row>
    <x:row r="5">
      <x:c r="A5" s="15" t="str">
        <x:v>C0035</x:v>
      </x:c>
      <x:c r="B5" s="15" t="str">
        <x:v>Brake / Chassis</x:v>
      </x:c>
      <x:c r="C5" s="15" t="str">
        <x:v>ABS Wheel Speed Sensing</x:v>
      </x:c>
      <x:c r="D5" s="15" t="str">
        <x:v>Left front wheel speed sensor circuit or signal fault</x:v>
      </x:c>
      <x:c r="E5" s="15" t="str">
        <x:v>Sensor failure; harness chafing; connector moisture ingress; tone ring damage</x:v>
      </x:c>
      <x:c r="F5" s="15" t="str">
        <x:v>Medium</x:v>
      </x:c>
    </x:row>
    <x:row r="6">
      <x:c r="A6" s="15" t="str">
        <x:v>P20EE</x:v>
      </x:c>
      <x:c r="B6" s="15" t="str">
        <x:v>Aftertreatment</x:v>
      </x:c>
      <x:c r="C6" s="15" t="str">
        <x:v>SCR / DEF Dosing</x:v>
      </x:c>
      <x:c r="D6" s="15" t="str">
        <x:v>SCR NOx catalyst efficiency below threshold</x:v>
      </x:c>
      <x:c r="E6" s="15" t="str">
        <x:v>DEF doser crystallization; poor spray pattern; NOx sensor concern; duty cycle impact</x:v>
      </x:c>
      <x:c r="F6" s="15" t="str">
        <x:v>High</x:v>
      </x:c>
    </x:row>
    <x:row r="7">
      <x:c r="A7" s="15" t="str">
        <x:v>P0420</x:v>
      </x:c>
      <x:c r="B7" s="15" t="str">
        <x:v>Engine / Emissions</x:v>
      </x:c>
      <x:c r="C7" s="15" t="str">
        <x:v>Catalyst System</x:v>
      </x:c>
      <x:c r="D7" s="15" t="str">
        <x:v>Catalyst system efficiency below threshold</x:v>
      </x:c>
      <x:c r="E7" s="15" t="str">
        <x:v>Catalyst degradation; upstream fuel/air issue; oxygen sensor concern; prior misfire damage</x:v>
      </x:c>
      <x:c r="F7" s="15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691e040c9ca643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</x:cols>
  <x:sheetData>
    <x:row r="1" ht="30" customHeight="1">
      <x:c r="A1" s="14" t="str">
        <x:v>vehicle_make</x:v>
      </x:c>
      <x:c r="B1" s="14" t="str">
        <x:v>vehicle_model</x:v>
      </x:c>
      <x:c r="C1" s="14" t="str">
        <x:v>model_year</x:v>
      </x:c>
      <x:c r="D1" s="14" t="str">
        <x:v>noun_code</x:v>
      </x:c>
      <x:c r="E1" s="14" t="str">
        <x:v>part_name</x:v>
      </x:c>
      <x:c r="F1" s="14" t="str">
        <x:v>oem_service_interval_miles</x:v>
      </x:c>
      <x:c r="G1" s="14" t="str">
        <x:v>inspection_cost_usd</x:v>
      </x:c>
      <x:c r="H1" s="14" t="str">
        <x:v>recommended_action</x:v>
      </x:c>
    </x:row>
    <x:row r="2">
      <x:c r="A2" s="15" t="str">
        <x:v>Mitsubishi</x:v>
      </x:c>
      <x:c r="B2" s="15" t="str">
        <x:v>Outlander</x:v>
      </x:c>
      <x:c r="C2" s="18" t="n">
        <x:v>2021</x:v>
      </x:c>
      <x:c r="D2" s="15" t="str">
        <x:v>SPKPLG</x:v>
      </x:c>
      <x:c r="E2" s="15" t="str">
        <x:v>Spark Plug</x:v>
      </x:c>
      <x:c r="F2" s="18" t="n">
        <x:v>60000</x:v>
      </x:c>
      <x:c r="G2" s="18" t="n">
        <x:v>120</x:v>
      </x:c>
      <x:c r="H2" s="15" t="str">
        <x:v>Inspect spark plugs</x:v>
      </x:c>
    </x:row>
    <x:row r="3">
      <x:c r="A3" s="15" t="str">
        <x:v>International</x:v>
      </x:c>
      <x:c r="B3" s="15" t="str">
        <x:v>LT</x:v>
      </x:c>
      <x:c r="C3" s="18" t="n">
        <x:v>2022</x:v>
      </x:c>
      <x:c r="D3" s="15" t="str">
        <x:v>EGRVLV</x:v>
      </x:c>
      <x:c r="E3" s="15" t="str">
        <x:v>EGR Valve</x:v>
      </x:c>
      <x:c r="F3" s="18" t="n">
        <x:v>90000</x:v>
      </x:c>
      <x:c r="G3" s="18" t="n">
        <x:v>280</x:v>
      </x:c>
      <x:c r="H3" s="15" t="str">
        <x:v>Inspect / clean EGR valve and cooler</x:v>
      </x:c>
    </x:row>
    <x:row r="4">
      <x:c r="A4" s="15" t="str">
        <x:v>International</x:v>
      </x:c>
      <x:c r="B4" s="15" t="str">
        <x:v>RH</x:v>
      </x:c>
      <x:c r="C4" s="18" t="n">
        <x:v>2023</x:v>
      </x:c>
      <x:c r="D4" s="15" t="str">
        <x:v>TURBO</x:v>
      </x:c>
      <x:c r="E4" s="15" t="str">
        <x:v>Turbocharger</x:v>
      </x:c>
      <x:c r="F4" s="18" t="n">
        <x:v>100000</x:v>
      </x:c>
      <x:c r="G4" s="18" t="n">
        <x:v>350</x:v>
      </x:c>
      <x:c r="H4" s="15" t="str">
        <x:v>Inspect VGT actuator calibration and boost response</x:v>
      </x:c>
    </x:row>
    <x:row r="5">
      <x:c r="A5" s="15" t="str">
        <x:v>International</x:v>
      </x:c>
      <x:c r="B5" s="15" t="str">
        <x:v>CE School Bus</x:v>
      </x:c>
      <x:c r="C5" s="18" t="n">
        <x:v>2024</x:v>
      </x:c>
      <x:c r="D5" s="15" t="str">
        <x:v>WHSNSR</x:v>
      </x:c>
      <x:c r="E5" s="15" t="str">
        <x:v>Wheel Speed Sensor</x:v>
      </x:c>
      <x:c r="F5" s="18" t="n">
        <x:v>50000</x:v>
      </x:c>
      <x:c r="G5" s="18" t="n">
        <x:v>90</x:v>
      </x:c>
      <x:c r="H5" s="15" t="str">
        <x:v>Inspect harness routing and connector sealing</x:v>
      </x:c>
    </x:row>
    <x:row r="6">
      <x:c r="A6" s="15" t="str">
        <x:v>International</x:v>
      </x:c>
      <x:c r="B6" s="15" t="str">
        <x:v>HV</x:v>
      </x:c>
      <x:c r="C6" s="18" t="n">
        <x:v>2022</x:v>
      </x:c>
      <x:c r="D6" s="15" t="str">
        <x:v>DOSER</x:v>
      </x:c>
      <x:c r="E6" s="15" t="str">
        <x:v>DEF Doser</x:v>
      </x:c>
      <x:c r="F6" s="18" t="n">
        <x:v>75000</x:v>
      </x:c>
      <x:c r="G6" s="18" t="n">
        <x:v>180</x:v>
      </x:c>
      <x:c r="H6" s="15" t="str">
        <x:v>Inspect / clean DEF doser spray pattern</x:v>
      </x:c>
    </x:row>
    <x:row r="7">
      <x:c r="A7" s="15" t="str">
        <x:v>Mitsubishi</x:v>
      </x:c>
      <x:c r="B7" s="15" t="str">
        <x:v>Outlander</x:v>
      </x:c>
      <x:c r="C7" s="18" t="n">
        <x:v>2022</x:v>
      </x:c>
      <x:c r="D7" s="15" t="str">
        <x:v>CATCNV</x:v>
      </x:c>
      <x:c r="E7" s="15" t="str">
        <x:v>Catalytic Converter</x:v>
      </x:c>
      <x:c r="F7" s="18" t="n">
        <x:v>100000</x:v>
      </x:c>
      <x:c r="G7" s="18" t="n">
        <x:v>160</x:v>
      </x:c>
      <x:c r="H7" s="15" t="str">
        <x:v>Check upstream misfire/fuel trims before catalyst replacement</x:v>
      </x:c>
    </x:row>
  </x:sheetData>
  <x:pageMargins left="0.7" right="0.7" top="0.75" bottom="0.75" header="0.3" footer="0.3"/>
  <x:tableParts count="1">
    <x:tablePart xmlns:r="http://schemas.openxmlformats.org/officeDocument/2006/relationships" r:id="R7ff301a40ba346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14" t="str">
        <x:v>noun_code</x:v>
      </x:c>
      <x:c r="B1" s="14" t="str">
        <x:v>part_name</x:v>
      </x:c>
      <x:c r="C1" s="14" t="str">
        <x:v>vehicle_system</x:v>
      </x:c>
      <x:c r="D1" s="14" t="str">
        <x:v>subsystem</x:v>
      </x:c>
      <x:c r="E1" s="14" t="str">
        <x:v>supplier</x:v>
      </x:c>
      <x:c r="F1" s="14" t="str">
        <x:v>design_owner</x:v>
      </x:c>
      <x:c r="G1" s="14" t="str">
        <x:v>criticality</x:v>
      </x:c>
    </x:row>
    <x:row r="2">
      <x:c r="A2" s="15" t="str">
        <x:v>SPKPLG</x:v>
      </x:c>
      <x:c r="B2" s="15" t="str">
        <x:v>Spark Plug</x:v>
      </x:c>
      <x:c r="C2" s="15" t="str">
        <x:v>Engine</x:v>
      </x:c>
      <x:c r="D2" s="15" t="str">
        <x:v>Ignition System</x:v>
      </x:c>
      <x:c r="E2" s="15" t="str">
        <x:v>Supplier A</x:v>
      </x:c>
      <x:c r="F2" s="15" t="str">
        <x:v>Powertrain Engineering</x:v>
      </x:c>
      <x:c r="G2" s="15" t="str">
        <x:v>High</x:v>
      </x:c>
    </x:row>
    <x:row r="3">
      <x:c r="A3" s="15" t="str">
        <x:v>EGRVLV</x:v>
      </x:c>
      <x:c r="B3" s="15" t="str">
        <x:v>EGR Valve</x:v>
      </x:c>
      <x:c r="C3" s="15" t="str">
        <x:v>Engine / Emissions</x:v>
      </x:c>
      <x:c r="D3" s="15" t="str">
        <x:v>EGR System</x:v>
      </x:c>
      <x:c r="E3" s="15" t="str">
        <x:v>Supplier B</x:v>
      </x:c>
      <x:c r="F3" s="15" t="str">
        <x:v>Emissions Engineering</x:v>
      </x:c>
      <x:c r="G3" s="15" t="str">
        <x:v>High</x:v>
      </x:c>
    </x:row>
    <x:row r="4">
      <x:c r="A4" s="15" t="str">
        <x:v>TURBO</x:v>
      </x:c>
      <x:c r="B4" s="15" t="str">
        <x:v>Turbocharger</x:v>
      </x:c>
      <x:c r="C4" s="15" t="str">
        <x:v>Engine / Air Handling</x:v>
      </x:c>
      <x:c r="D4" s="15" t="str">
        <x:v>Turbocharging</x:v>
      </x:c>
      <x:c r="E4" s="15" t="str">
        <x:v>Supplier C</x:v>
      </x:c>
      <x:c r="F4" s="15" t="str">
        <x:v>Air Handling Engineering</x:v>
      </x:c>
      <x:c r="G4" s="15" t="str">
        <x:v>High</x:v>
      </x:c>
    </x:row>
    <x:row r="5">
      <x:c r="A5" s="15" t="str">
        <x:v>WHSNSR</x:v>
      </x:c>
      <x:c r="B5" s="15" t="str">
        <x:v>Wheel Speed Sensor</x:v>
      </x:c>
      <x:c r="C5" s="15" t="str">
        <x:v>Brake / Chassis</x:v>
      </x:c>
      <x:c r="D5" s="15" t="str">
        <x:v>ABS Wheel Speed Sensing</x:v>
      </x:c>
      <x:c r="E5" s="15" t="str">
        <x:v>Supplier D</x:v>
      </x:c>
      <x:c r="F5" s="15" t="str">
        <x:v>Chassis Controls</x:v>
      </x:c>
      <x:c r="G5" s="15" t="str">
        <x:v>Medium</x:v>
      </x:c>
    </x:row>
    <x:row r="6">
      <x:c r="A6" s="15" t="str">
        <x:v>DOSER</x:v>
      </x:c>
      <x:c r="B6" s="15" t="str">
        <x:v>DEF Doser</x:v>
      </x:c>
      <x:c r="C6" s="15" t="str">
        <x:v>Aftertreatment</x:v>
      </x:c>
      <x:c r="D6" s="15" t="str">
        <x:v>SCR / DEF Dosing</x:v>
      </x:c>
      <x:c r="E6" s="15" t="str">
        <x:v>Supplier E</x:v>
      </x:c>
      <x:c r="F6" s="15" t="str">
        <x:v>Aftertreatment Engineering</x:v>
      </x:c>
      <x:c r="G6" s="15" t="str">
        <x:v>High</x:v>
      </x:c>
    </x:row>
    <x:row r="7">
      <x:c r="A7" s="15" t="str">
        <x:v>CATCNV</x:v>
      </x:c>
      <x:c r="B7" s="15" t="str">
        <x:v>Catalytic Converter</x:v>
      </x:c>
      <x:c r="C7" s="15" t="str">
        <x:v>Engine / Emissions</x:v>
      </x:c>
      <x:c r="D7" s="15" t="str">
        <x:v>Catalyst System</x:v>
      </x:c>
      <x:c r="E7" s="15" t="str">
        <x:v>Supplier F</x:v>
      </x:c>
      <x:c r="F7" s="15" t="str">
        <x:v>Emissions Engineering</x:v>
      </x:c>
      <x:c r="G7" s="15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983698a8c04246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30" customHeight="1">
      <x:c r="A1" s="14" t="str">
        <x:v>system</x:v>
      </x:c>
      <x:c r="B1" s="14" t="str">
        <x:v>subsystem</x:v>
      </x:c>
      <x:c r="C1" s="14" t="str">
        <x:v>part_name</x:v>
      </x:c>
      <x:c r="D1" s="14" t="str">
        <x:v>failure_mode</x:v>
      </x:c>
      <x:c r="E1" s="14" t="str">
        <x:v>evidence_keywords</x:v>
      </x:c>
      <x:c r="F1" s="14" t="str">
        <x:v>suspected_root_causes</x:v>
      </x:c>
      <x:c r="G1" s="14" t="str">
        <x:v>recommended_tests</x:v>
      </x:c>
    </x:row>
    <x:row r="2">
      <x:c r="A2" s="15" t="str">
        <x:v>Engine</x:v>
      </x:c>
      <x:c r="B2" s="15" t="str">
        <x:v>Ignition System</x:v>
      </x:c>
      <x:c r="C2" s="15" t="str">
        <x:v>Spark Plug</x:v>
      </x:c>
      <x:c r="D2" s="15" t="str">
        <x:v>Premature fouling / wear</x:v>
      </x:c>
      <x:c r="E2" s="15" t="str">
        <x:v>misfire;fouled;carbon deposits;electrode worn;rough idle</x:v>
      </x:c>
      <x:c r="F2" s="15" t="str">
        <x:v>Combustion deposit buildup, heat range mismatch, fuel trim issue, maintenance interval too long</x:v>
      </x:c>
      <x:c r="G2" s="15" t="str">
        <x:v>Check plug condition, coil output, injector balance, fuel trims, compression, service interval gap</x:v>
      </x:c>
    </x:row>
    <x:row r="3">
      <x:c r="A3" s="15" t="str">
        <x:v>Engine / Emissions</x:v>
      </x:c>
      <x:c r="B3" s="15" t="str">
        <x:v>EGR System</x:v>
      </x:c>
      <x:c r="C3" s="15" t="str">
        <x:v>EGR Valve</x:v>
      </x:c>
      <x:c r="D3" s="15" t="str">
        <x:v>Sticking / restricted flow</x:v>
      </x:c>
      <x:c r="E3" s="15" t="str">
        <x:v>P0401;sticking;soot buildup;cooler restriction;actuator mismatch</x:v>
      </x:c>
      <x:c r="F3" s="15" t="str">
        <x:v>Soot accumulation, duty cycle, cooler restriction, actuator wear, calibration issue</x:v>
      </x:c>
      <x:c r="G3" s="15" t="str">
        <x:v>EGR position command vs actual, cooler delta pressure, soot inspection, regen history</x:v>
      </x:c>
    </x:row>
    <x:row r="4">
      <x:c r="A4" s="15" t="str">
        <x:v>Engine / Air Handling</x:v>
      </x:c>
      <x:c r="B4" s="15" t="str">
        <x:v>Turbocharging</x:v>
      </x:c>
      <x:c r="C4" s="15" t="str">
        <x:v>Turbocharger</x:v>
      </x:c>
      <x:c r="D4" s="15" t="str">
        <x:v>Underboost / VGT actuator lag</x:v>
      </x:c>
      <x:c r="E4" s="15" t="str">
        <x:v>underboost;VGT;actuator;boost pressure;lag;calibration drift</x:v>
      </x:c>
      <x:c r="F4" s="15" t="str">
        <x:v>Actuator response lag, boost leak, sensor drift, vane sticking, calibration error</x:v>
      </x:c>
      <x:c r="G4" s="15" t="str">
        <x:v>Boost leak test, VGT command/actual trace, actuator calibration, intake restriction check</x:v>
      </x:c>
    </x:row>
    <x:row r="5">
      <x:c r="A5" s="15" t="str">
        <x:v>Brake / Chassis</x:v>
      </x:c>
      <x:c r="B5" s="15" t="str">
        <x:v>ABS Wheel Speed Sensing</x:v>
      </x:c>
      <x:c r="C5" s="15" t="str">
        <x:v>Wheel Speed Sensor</x:v>
      </x:c>
      <x:c r="D5" s="15" t="str">
        <x:v>Signal interruption</x:v>
      </x:c>
      <x:c r="E5" s="15" t="str">
        <x:v>ABS;chafing;moisture;connector;wire;bracket</x:v>
      </x:c>
      <x:c r="F5" s="15" t="str">
        <x:v>Harness routing issue, connector sealing weakness, road spray ingress, bracket chafe point</x:v>
      </x:c>
      <x:c r="G5" s="15" t="str">
        <x:v>Harness visual inspection, wiggle test, connector seal inspection, oscilloscope signal check</x:v>
      </x:c>
    </x:row>
    <x:row r="6">
      <x:c r="A6" s="15" t="str">
        <x:v>Aftertreatment</x:v>
      </x:c>
      <x:c r="B6" s="15" t="str">
        <x:v>SCR / DEF Dosing</x:v>
      </x:c>
      <x:c r="C6" s="15" t="str">
        <x:v>DEF Doser</x:v>
      </x:c>
      <x:c r="D6" s="15" t="str">
        <x:v>Crystallization / poor spray pattern</x:v>
      </x:c>
      <x:c r="E6" s="15" t="str">
        <x:v>DEF;crystallization;blocked;poor spray;short route;duty cycle</x:v>
      </x:c>
      <x:c r="F6" s="15" t="str">
        <x:v>Low exhaust temperature duty cycle, DEF quality, nozzle blockage, crystallization buildup</x:v>
      </x:c>
      <x:c r="G6" s="15" t="str">
        <x:v>Doser spray test, DEF quality test, SCR temp profile, route/duty cycle analysis</x:v>
      </x:c>
    </x:row>
    <x:row r="7">
      <x:c r="A7" s="15" t="str">
        <x:v>Engine / Emissions</x:v>
      </x:c>
      <x:c r="B7" s="15" t="str">
        <x:v>Catalyst System</x:v>
      </x:c>
      <x:c r="C7" s="15" t="str">
        <x:v>Catalytic Converter</x:v>
      </x:c>
      <x:c r="D7" s="15" t="str">
        <x:v>Efficiency degradation</x:v>
      </x:c>
      <x:c r="E7" s="15" t="str">
        <x:v>P0420;catalyst;efficiency;oxygen sensor;misfire</x:v>
      </x:c>
      <x:c r="F7" s="15" t="str">
        <x:v>Catalyst aging, prior misfire damage, oxygen sensor drift, rich/lean fuel control issue</x:v>
      </x:c>
      <x:c r="G7" s="15" t="str">
        <x:v>O2 sensor switching test, fuel trim analysis, misfire history check, catalyst temperature test</x:v>
      </x:c>
    </x:row>
  </x:sheetData>
  <x:pageMargins left="0.7" right="0.7" top="0.75" bottom="0.75" header="0.3" footer="0.3"/>
  <x:tableParts count="1">
    <x:tablePart xmlns:r="http://schemas.openxmlformats.org/officeDocument/2006/relationships" r:id="R59c30223892f4f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8" hidden="0" customWidth="1"/>
    <x:col min="4" max="4" width="38" hidden="0" customWidth="1"/>
  </x:cols>
  <x:sheetData>
    <x:row r="1" ht="26" customHeight="1">
      <x:c r="A1" s="32" t="str">
        <x:v>LangGraph Predictive Warranty Agent - Dataset Summary</x:v>
      </x:c>
      <x:c r="B1" s="12" t="str"/>
      <x:c r="C1" s="12" t="str"/>
      <x:c r="D1" s="12" t="str"/>
    </x:row>
    <x:row r="2">
      <x:c r="A2" s="6" t="str">
        <x:v>Metric</x:v>
      </x:c>
      <x:c r="B2" s="6" t="str">
        <x:v>Value</x:v>
      </x:c>
      <x:c r="C2" s="6" t="str">
        <x:v>Description</x:v>
      </x:c>
      <x:c r="D2" s="6" t="str">
        <x:v>Use in Project</x:v>
      </x:c>
    </x:row>
    <x:row r="3">
      <x:c r="A3" s="12" t="str">
        <x:v>Total Claims</x:v>
      </x:c>
      <x:c r="B3" s="12" t="n">
        <x:v>15</x:v>
      </x:c>
      <x:c r="C3" s="12" t="str">
        <x:v>Number of sample warranty claims</x:v>
      </x:c>
      <x:c r="D3" s="12" t="str">
        <x:v>Claim intake and pattern analysis</x:v>
      </x:c>
    </x:row>
    <x:row r="4">
      <x:c r="A4" s="12" t="str">
        <x:v>Unique Fault Codes</x:v>
      </x:c>
      <x:c r="B4" s="12" t="n">
        <x:v>6</x:v>
      </x:c>
      <x:c r="C4" s="12" t="str">
        <x:v>Fault codes appearing in claims</x:v>
      </x:c>
      <x:c r="D4" s="12" t="str">
        <x:v>Fault-code interpretation</x:v>
      </x:c>
    </x:row>
    <x:row r="5">
      <x:c r="A5" s="12" t="str">
        <x:v>Unique Noun Codes</x:v>
      </x:c>
      <x:c r="B5" s="12" t="n">
        <x:v>6</x:v>
      </x:c>
      <x:c r="C5" s="12" t="str">
        <x:v>Unique failed parts/components</x:v>
      </x:c>
      <x:c r="D5" s="12" t="str">
        <x:v>System and subsystem navigation</x:v>
      </x:c>
    </x:row>
    <x:row r="6">
      <x:c r="A6" s="12" t="str">
        <x:v>Average Repair Cost</x:v>
      </x:c>
      <x:c r="B6" s="34" t="n">
        <x:f>AVERAGE(WarrantyClaims!P2:P16)</x:f>
        <x:v>2253.3333333333335</x:v>
      </x:c>
      <x:c r="C6" s="12" t="str">
        <x:v>Average repair cost in USD</x:v>
      </x:c>
      <x:c r="D6" s="12" t="str">
        <x:v>Cost saving calculation</x:v>
      </x:c>
    </x:row>
    <x:row r="7">
      <x:c r="A7" s="12" t="str">
        <x:v>High Pattern Example</x:v>
      </x:c>
      <x:c r="B7" s="12" t="str">
        <x:v>C-1001 / SPKPLG / P0302</x:v>
      </x:c>
      <x:c r="C7" s="12" t="str">
        <x:v>Spark plug failures around 28k-35k miles vs 60k interval</x:v>
      </x:c>
      <x:c r="D7" s="12" t="str">
        <x:v>Preventive intelligence demonstration</x:v>
      </x:c>
    </x:row>
    <x:row r="8">
      <x:c r="A8" s="12" t="str">
        <x:v>Recommended Demo Command</x:v>
      </x:c>
      <x:c r="B8" s="12" t="str">
        <x:v>python main.py --claim-id C-1001</x:v>
      </x:c>
      <x:c r="C8" s="12" t="str">
        <x:v>Run the CLI demo</x:v>
      </x:c>
      <x:c r="D8" s="12" t="str">
        <x:v>Project execution</x:v>
      </x:c>
    </x:row>
    <x:row r="9">
      <x:c r="A9" s="12" t="str">
        <x:v>Streamlit Command</x:v>
      </x:c>
      <x:c r="B9" s="12" t="str">
        <x:v>streamlit run streamlit_app.py</x:v>
      </x:c>
      <x:c r="C9" s="12" t="str">
        <x:v>Run the UI</x:v>
      </x:c>
      <x:c r="D9" s="12" t="str">
        <x:v>Project execution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8" hidden="0" customWidth="1"/>
  </x:cols>
  <x:sheetData>
    <x:row r="1">
      <x:c r="A1" s="32" t="str">
        <x:v>Preventive Intelligence Calculation</x:v>
      </x:c>
      <x:c r="B1" s="12" t="str"/>
      <x:c r="C1" s="12" t="str"/>
    </x:row>
    <x:row r="2">
      <x:c r="A2" s="5" t="str">
        <x:v>Field</x:v>
      </x:c>
      <x:c r="B2" s="5" t="str">
        <x:v>Value</x:v>
      </x:c>
      <x:c r="C2" s="5" t="str">
        <x:v>Explanation</x:v>
      </x:c>
    </x:row>
    <x:row r="3">
      <x:c r="A3" s="12" t="str">
        <x:v>Selected Claim</x:v>
      </x:c>
      <x:c r="B3" s="12" t="str">
        <x:v>C-1001</x:v>
      </x:c>
      <x:c r="C3" s="12" t="str">
        <x:v>Spark plug misfire case</x:v>
      </x:c>
    </x:row>
    <x:row r="4">
      <x:c r="A4" s="12" t="str">
        <x:v>Average Failure Mileage</x:v>
      </x:c>
      <x:c r="B4" s="36" t="n">
        <x:f>AVERAGEIF(WarrantyClaims!K2:K16,"SPKPLG",WarrantyClaims!G2:G16)</x:f>
        <x:v>31640</x:v>
      </x:c>
      <x:c r="C4" s="12" t="str">
        <x:v>Average mileage for SPKPLG claims</x:v>
      </x:c>
    </x:row>
    <x:row r="5">
      <x:c r="A5" s="12" t="str">
        <x:v>OEM Service Interval</x:v>
      </x:c>
      <x:c r="B5" s="36" t="n">
        <x:f>XLOOKUP("SPKPLG",ServiceIntervals!D2:D7,ServiceIntervals!F2:F7)</x:f>
        <x:v>60000</x:v>
      </x:c>
      <x:c r="C5" s="12" t="str">
        <x:v>Current inspection interval from service data</x:v>
      </x:c>
    </x:row>
    <x:row r="6">
      <x:c r="A6" s="12" t="str">
        <x:v>Inspection Cost</x:v>
      </x:c>
      <x:c r="B6" s="34" t="n">
        <x:f>XLOOKUP("SPKPLG",ServiceIntervals!D2:D7,ServiceIntervals!G2:G7)</x:f>
        <x:v>120</x:v>
      </x:c>
      <x:c r="C6" s="12" t="str">
        <x:v>Cost of proactive inspection</x:v>
      </x:c>
    </x:row>
    <x:row r="7">
      <x:c r="A7" s="12" t="str">
        <x:v>Average Repair Cost</x:v>
      </x:c>
      <x:c r="B7" s="34" t="n">
        <x:f>AVERAGEIF(WarrantyClaims!K2:K16,"SPKPLG",WarrantyClaims!P2:P16)</x:f>
        <x:v>1838</x:v>
      </x:c>
      <x:c r="C7" s="12" t="str">
        <x:v>Average repair cost for similar claims</x:v>
      </x:c>
    </x:row>
    <x:row r="8">
      <x:c r="A8" s="12" t="str">
        <x:v>Risk Gap Miles</x:v>
      </x:c>
      <x:c r="B8" s="36" t="n">
        <x:f>B5-B4</x:f>
        <x:v>28360</x:v>
      </x:c>
      <x:c r="C8" s="12" t="str">
        <x:v>Difference between service interval and observed failure mileage</x:v>
      </x:c>
    </x:row>
    <x:row r="9">
      <x:c r="A9" s="12" t="str">
        <x:v>Recommended Inspection Mileage</x:v>
      </x:c>
      <x:c r="B9" s="36" t="n">
        <x:f>FLOOR(B4*0.8,5000)</x:f>
        <x:v>25000</x:v>
      </x:c>
      <x:c r="C9" s="12" t="str">
        <x:v>80% of observed failure mileage, rounded down to 5,000 miles</x:v>
      </x:c>
    </x:row>
    <x:row r="10">
      <x:c r="A10" s="12" t="str">
        <x:v>Estimated Saving per Vehicle</x:v>
      </x:c>
      <x:c r="B10" s="34" t="n">
        <x:f>B7-B6</x:f>
        <x:v>1718</x:v>
      </x:c>
      <x:c r="C10" s="12" t="str">
        <x:v>Average repair cost minus inspection cost</x:v>
      </x:c>
    </x:row>
  </x:sheetData>
  <x:mergeCells>
    <x:mergeCell ref="A1:C1"/>
  </x:mergeCells>
  <x:pageMargins left="0.7" right="0.7" top="0.75" bottom="0.75" header="0.3" footer="0.3"/>
</x:worksheet>
</file>